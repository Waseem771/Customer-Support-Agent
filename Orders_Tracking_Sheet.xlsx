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definedNames>
    <definedName function="false" hidden="true" localSheetId="0" name="_xlnm._FilterDatabase" vbProcedure="false">Orders!$A$1:$J$16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<sst xmlns="http://schemas.openxmlformats.org/spreadsheetml/2006/main" count="125" uniqueCount="112">
  <si>
    <t xml:space="preserve">Order_ID</t>
  </si>
  <si>
    <t xml:space="preserve">Customer_Name</t>
  </si>
  <si>
    <t xml:space="preserve">Contact_Number</t>
  </si>
  <si>
    <t xml:space="preserve">Product</t>
  </si>
  <si>
    <t xml:space="preserve">Quantity</t>
  </si>
  <si>
    <t xml:space="preserve">Total_Amount_PKR</t>
  </si>
  <si>
    <t xml:space="preserve">Order_Date</t>
  </si>
  <si>
    <t xml:space="preserve">Shipping_Address</t>
  </si>
  <si>
    <t xml:space="preserve">Status</t>
  </si>
  <si>
    <t xml:space="preserve">Tracking_Number</t>
  </si>
  <si>
    <t xml:space="preserve">ORD-1001</t>
  </si>
  <si>
    <t xml:space="preserve">Ali Khan</t>
  </si>
  <si>
    <t xml:space="preserve">0300-1234567</t>
  </si>
  <si>
    <t xml:space="preserve">Wireless Earbuds</t>
  </si>
  <si>
    <t xml:space="preserve">House 12, Street 5, F-8/3, Islamabad</t>
  </si>
  <si>
    <t xml:space="preserve">Delivered</t>
  </si>
  <si>
    <t xml:space="preserve">TCS-4521890</t>
  </si>
  <si>
    <t xml:space="preserve">ORD-1002</t>
  </si>
  <si>
    <t xml:space="preserve">Sara Ahmed</t>
  </si>
  <si>
    <t xml:space="preserve">0321-7654321</t>
  </si>
  <si>
    <t xml:space="preserve">Cotton Lawn Suit (3-Piece)</t>
  </si>
  <si>
    <t xml:space="preserve">Flat 4B, Gulberg III, Lahore</t>
  </si>
  <si>
    <t xml:space="preserve">LEO-7783412</t>
  </si>
  <si>
    <t xml:space="preserve">ORD-1003</t>
  </si>
  <si>
    <t xml:space="preserve">Fatima Hassan</t>
  </si>
  <si>
    <t xml:space="preserve">0333-9876543</t>
  </si>
  <si>
    <t xml:space="preserve">Smart Watch</t>
  </si>
  <si>
    <t xml:space="preserve">B-45, Block 13-D, Gulshan-e-Iqbal, Karachi</t>
  </si>
  <si>
    <t xml:space="preserve">In Transit</t>
  </si>
  <si>
    <t xml:space="preserve">TCS-4522017</t>
  </si>
  <si>
    <t xml:space="preserve">ORD-1004</t>
  </si>
  <si>
    <t xml:space="preserve">Usman Tariq</t>
  </si>
  <si>
    <t xml:space="preserve">0345-1122334</t>
  </si>
  <si>
    <t xml:space="preserve">Bluetooth Speaker</t>
  </si>
  <si>
    <t xml:space="preserve">House 88, Satellite Town, Rawalpindi</t>
  </si>
  <si>
    <t xml:space="preserve">Processing</t>
  </si>
  <si>
    <t xml:space="preserve">PSP-3390021</t>
  </si>
  <si>
    <t xml:space="preserve">ORD-1005</t>
  </si>
  <si>
    <t xml:space="preserve">Ayesha Siddiqui</t>
  </si>
  <si>
    <t xml:space="preserve">0302-4455667</t>
  </si>
  <si>
    <t xml:space="preserve">Leather Handbag</t>
  </si>
  <si>
    <t xml:space="preserve">Bahria Town Phase 4, Rawalpindi</t>
  </si>
  <si>
    <t xml:space="preserve">TCS-4522340</t>
  </si>
  <si>
    <t xml:space="preserve">ORD-1006</t>
  </si>
  <si>
    <t xml:space="preserve">Hamza Malik</t>
  </si>
  <si>
    <t xml:space="preserve">0311-7788990</t>
  </si>
  <si>
    <t xml:space="preserve">Running Shoes</t>
  </si>
  <si>
    <t xml:space="preserve">Nishtar Road, Multan Cantt, Multan</t>
  </si>
  <si>
    <t xml:space="preserve">LEO-7784550</t>
  </si>
  <si>
    <t xml:space="preserve">ORD-1007</t>
  </si>
  <si>
    <t xml:space="preserve">Zainab Raza</t>
  </si>
  <si>
    <t xml:space="preserve">0322-3344556</t>
  </si>
  <si>
    <t xml:space="preserve">Prayer Mat Set</t>
  </si>
  <si>
    <t xml:space="preserve">Model Town Block C, Lahore</t>
  </si>
  <si>
    <t xml:space="preserve">Pending</t>
  </si>
  <si>
    <t xml:space="preserve">N/A</t>
  </si>
  <si>
    <t xml:space="preserve">ORD-1008</t>
  </si>
  <si>
    <t xml:space="preserve">Bilal Chaudhry</t>
  </si>
  <si>
    <t xml:space="preserve">0336-6677889</t>
  </si>
  <si>
    <t xml:space="preserve">Mobile Phone Cover</t>
  </si>
  <si>
    <t xml:space="preserve">Sector G-11/2, Islamabad</t>
  </si>
  <si>
    <t xml:space="preserve">TCS-4523011</t>
  </si>
  <si>
    <t xml:space="preserve">ORD-1009</t>
  </si>
  <si>
    <t xml:space="preserve">Hira Nadeem</t>
  </si>
  <si>
    <t xml:space="preserve">0301-9988776</t>
  </si>
  <si>
    <t xml:space="preserve">Bedsheet Set (King)</t>
  </si>
  <si>
    <t xml:space="preserve">Clifton Block 5, Karachi</t>
  </si>
  <si>
    <t xml:space="preserve">PSP-3391187</t>
  </si>
  <si>
    <t xml:space="preserve">ORD-1010</t>
  </si>
  <si>
    <t xml:space="preserve">Ahmed Raza</t>
  </si>
  <si>
    <t xml:space="preserve">0343-2211009</t>
  </si>
  <si>
    <t xml:space="preserve">Electric Kettle</t>
  </si>
  <si>
    <t xml:space="preserve">Cantt Area, Peshawar Road, Peshawar</t>
  </si>
  <si>
    <t xml:space="preserve">Cancelled</t>
  </si>
  <si>
    <t xml:space="preserve">ORD-1011</t>
  </si>
  <si>
    <t xml:space="preserve">Maryam Iqbal</t>
  </si>
  <si>
    <t xml:space="preserve">0312-5566778</t>
  </si>
  <si>
    <t xml:space="preserve">Kids School Bag</t>
  </si>
  <si>
    <t xml:space="preserve">Johar Town, Lahore</t>
  </si>
  <si>
    <t xml:space="preserve">LEO-7785902</t>
  </si>
  <si>
    <t xml:space="preserve">ORD-1012</t>
  </si>
  <si>
    <t xml:space="preserve">Talha Farooq</t>
  </si>
  <si>
    <t xml:space="preserve">0334-8899001</t>
  </si>
  <si>
    <t xml:space="preserve">Power Bank 20000mAh</t>
  </si>
  <si>
    <t xml:space="preserve">Hyderabad Latifabad Unit 7, Hyderabad</t>
  </si>
  <si>
    <t xml:space="preserve">ORD-1013</t>
  </si>
  <si>
    <t xml:space="preserve">Noor Fatima</t>
  </si>
  <si>
    <t xml:space="preserve">0305-1239874</t>
  </si>
  <si>
    <t xml:space="preserve">Embroidered Kurta</t>
  </si>
  <si>
    <t xml:space="preserve">Saddar Bazaar, Rawalpindi</t>
  </si>
  <si>
    <t xml:space="preserve">TCS-4524276</t>
  </si>
  <si>
    <t xml:space="preserve">ORD-1014</t>
  </si>
  <si>
    <t xml:space="preserve">Danish Mehmood</t>
  </si>
  <si>
    <t xml:space="preserve">0346-4567123</t>
  </si>
  <si>
    <t xml:space="preserve">LED Desk Lamp</t>
  </si>
  <si>
    <t xml:space="preserve">Gulgasht Colony, Multan</t>
  </si>
  <si>
    <t xml:space="preserve">PSP-3392455</t>
  </si>
  <si>
    <t xml:space="preserve">ORD-1015</t>
  </si>
  <si>
    <t xml:space="preserve">Rabia Anwar</t>
  </si>
  <si>
    <t xml:space="preserve">0323-7891234</t>
  </si>
  <si>
    <t xml:space="preserve">Perfume Gift Set</t>
  </si>
  <si>
    <t xml:space="preserve">DHA Phase 6, Karachi</t>
  </si>
  <si>
    <t xml:space="preserve">ORDER SUMMARY</t>
  </si>
  <si>
    <t xml:space="preserve">Total Orders</t>
  </si>
  <si>
    <t xml:space="preserve">Total Revenue (PKR) - All Orders</t>
  </si>
  <si>
    <t xml:space="preserve">Net Revenue (PKR) - Excl. Cancelled</t>
  </si>
  <si>
    <t xml:space="preserve">Delivered Orders</t>
  </si>
  <si>
    <t xml:space="preserve">In Transit Orders</t>
  </si>
  <si>
    <t xml:space="preserve">Processing Orders</t>
  </si>
  <si>
    <t xml:space="preserve">Pending Orders</t>
  </si>
  <si>
    <t xml:space="preserve">Cancelled Orders</t>
  </si>
  <si>
    <t xml:space="preserve">Note: Status column (I) has a dropdown - change it and colors + summary update automatically. Data is sample/dummy for testing.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</si>
</sst>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3"/>
    <col collapsed="false" customWidth="true" hidden="false" outlineLevel="0" max="10" min="10" style="0" width="17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2" t="n">
        <v>2</v>
      </c>
      <c r="F2" s="4" t="n">
        <v>7000</v>
      </c>
      <c r="G2" s="5" t="n">
        <v>46266</v>
      </c>
      <c r="H2" s="6" t="s">
        <v>14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3" t="s">
        <v>18</v>
      </c>
      <c r="C3" s="3" t="s">
        <v>19</v>
      </c>
      <c r="D3" s="3" t="s">
        <v>20</v>
      </c>
      <c r="E3" s="2" t="n">
        <v>1</v>
      </c>
      <c r="F3" s="4" t="n">
        <v>6500</v>
      </c>
      <c r="G3" s="5" t="n">
        <v>46267</v>
      </c>
      <c r="H3" s="6" t="s">
        <v>21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26</v>
      </c>
      <c r="E4" s="2" t="n">
        <v>1</v>
      </c>
      <c r="F4" s="4" t="n">
        <v>12500</v>
      </c>
      <c r="G4" s="5" t="n">
        <v>46268</v>
      </c>
      <c r="H4" s="6" t="s">
        <v>27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30</v>
      </c>
      <c r="B5" s="3" t="s">
        <v>31</v>
      </c>
      <c r="C5" s="3" t="s">
        <v>32</v>
      </c>
      <c r="D5" s="3" t="s">
        <v>33</v>
      </c>
      <c r="E5" s="2" t="n">
        <v>1</v>
      </c>
      <c r="F5" s="4" t="n">
        <v>4800</v>
      </c>
      <c r="G5" s="5" t="n">
        <v>46269</v>
      </c>
      <c r="H5" s="6" t="s">
        <v>34</v>
      </c>
      <c r="I5" s="2" t="s">
        <v>35</v>
      </c>
      <c r="J5" s="2" t="s">
        <v>36</v>
      </c>
    </row>
    <row r="6" customFormat="false" ht="15" hidden="false" customHeight="false" outlineLevel="0" collapsed="false">
      <c r="A6" s="2" t="s">
        <v>37</v>
      </c>
      <c r="B6" s="3" t="s">
        <v>38</v>
      </c>
      <c r="C6" s="3" t="s">
        <v>39</v>
      </c>
      <c r="D6" s="3" t="s">
        <v>40</v>
      </c>
      <c r="E6" s="2" t="n">
        <v>1</v>
      </c>
      <c r="F6" s="4" t="n">
        <v>8900</v>
      </c>
      <c r="G6" s="5" t="n">
        <v>46270</v>
      </c>
      <c r="H6" s="6" t="s">
        <v>41</v>
      </c>
      <c r="I6" s="2" t="s">
        <v>15</v>
      </c>
      <c r="J6" s="2" t="s">
        <v>42</v>
      </c>
    </row>
    <row r="7" customFormat="false" ht="15" hidden="false" customHeight="false" outlineLevel="0" collapsed="false">
      <c r="A7" s="2" t="s">
        <v>43</v>
      </c>
      <c r="B7" s="3" t="s">
        <v>44</v>
      </c>
      <c r="C7" s="3" t="s">
        <v>45</v>
      </c>
      <c r="D7" s="3" t="s">
        <v>46</v>
      </c>
      <c r="E7" s="2" t="n">
        <v>1</v>
      </c>
      <c r="F7" s="4" t="n">
        <v>9500</v>
      </c>
      <c r="G7" s="5" t="n">
        <v>46271</v>
      </c>
      <c r="H7" s="6" t="s">
        <v>47</v>
      </c>
      <c r="I7" s="2" t="s">
        <v>28</v>
      </c>
      <c r="J7" s="2" t="s">
        <v>48</v>
      </c>
    </row>
    <row r="8" customFormat="false" ht="15" hidden="false" customHeight="false" outlineLevel="0" collapsed="false">
      <c r="A8" s="2" t="s">
        <v>49</v>
      </c>
      <c r="B8" s="3" t="s">
        <v>50</v>
      </c>
      <c r="C8" s="3" t="s">
        <v>51</v>
      </c>
      <c r="D8" s="3" t="s">
        <v>52</v>
      </c>
      <c r="E8" s="2" t="n">
        <v>3</v>
      </c>
      <c r="F8" s="4" t="n">
        <v>4500</v>
      </c>
      <c r="G8" s="5" t="n">
        <v>46273</v>
      </c>
      <c r="H8" s="6" t="s">
        <v>53</v>
      </c>
      <c r="I8" s="2" t="s">
        <v>54</v>
      </c>
      <c r="J8" s="2" t="s">
        <v>55</v>
      </c>
    </row>
    <row r="9" customFormat="false" ht="15" hidden="false" customHeight="false" outlineLevel="0" collapsed="false">
      <c r="A9" s="2" t="s">
        <v>56</v>
      </c>
      <c r="B9" s="3" t="s">
        <v>57</v>
      </c>
      <c r="C9" s="3" t="s">
        <v>58</v>
      </c>
      <c r="D9" s="3" t="s">
        <v>59</v>
      </c>
      <c r="E9" s="2" t="n">
        <v>5</v>
      </c>
      <c r="F9" s="4" t="n">
        <v>3750</v>
      </c>
      <c r="G9" s="5" t="n">
        <v>46274</v>
      </c>
      <c r="H9" s="6" t="s">
        <v>60</v>
      </c>
      <c r="I9" s="2" t="s">
        <v>15</v>
      </c>
      <c r="J9" s="2" t="s">
        <v>61</v>
      </c>
    </row>
    <row r="10" customFormat="false" ht="15" hidden="false" customHeight="false" outlineLevel="0" collapsed="false">
      <c r="A10" s="2" t="s">
        <v>62</v>
      </c>
      <c r="B10" s="3" t="s">
        <v>63</v>
      </c>
      <c r="C10" s="3" t="s">
        <v>64</v>
      </c>
      <c r="D10" s="3" t="s">
        <v>65</v>
      </c>
      <c r="E10" s="2" t="n">
        <v>2</v>
      </c>
      <c r="F10" s="4" t="n">
        <v>11000</v>
      </c>
      <c r="G10" s="5" t="n">
        <v>46275</v>
      </c>
      <c r="H10" s="6" t="s">
        <v>66</v>
      </c>
      <c r="I10" s="2" t="s">
        <v>35</v>
      </c>
      <c r="J10" s="2" t="s">
        <v>67</v>
      </c>
    </row>
    <row r="11" customFormat="false" ht="15" hidden="false" customHeight="false" outlineLevel="0" collapsed="false">
      <c r="A11" s="2" t="s">
        <v>68</v>
      </c>
      <c r="B11" s="3" t="s">
        <v>69</v>
      </c>
      <c r="C11" s="3" t="s">
        <v>70</v>
      </c>
      <c r="D11" s="3" t="s">
        <v>71</v>
      </c>
      <c r="E11" s="2" t="n">
        <v>1</v>
      </c>
      <c r="F11" s="4" t="n">
        <v>5200</v>
      </c>
      <c r="G11" s="5" t="n">
        <v>46277</v>
      </c>
      <c r="H11" s="6" t="s">
        <v>72</v>
      </c>
      <c r="I11" s="2" t="s">
        <v>73</v>
      </c>
      <c r="J11" s="2" t="s">
        <v>55</v>
      </c>
    </row>
    <row r="12" customFormat="false" ht="15" hidden="false" customHeight="false" outlineLevel="0" collapsed="false">
      <c r="A12" s="2" t="s">
        <v>74</v>
      </c>
      <c r="B12" s="3" t="s">
        <v>75</v>
      </c>
      <c r="C12" s="3" t="s">
        <v>76</v>
      </c>
      <c r="D12" s="3" t="s">
        <v>77</v>
      </c>
      <c r="E12" s="2" t="n">
        <v>2</v>
      </c>
      <c r="F12" s="4" t="n">
        <v>6000</v>
      </c>
      <c r="G12" s="5" t="n">
        <v>46279</v>
      </c>
      <c r="H12" s="6" t="s">
        <v>78</v>
      </c>
      <c r="I12" s="2" t="s">
        <v>28</v>
      </c>
      <c r="J12" s="2" t="s">
        <v>79</v>
      </c>
    </row>
    <row r="13" customFormat="false" ht="15" hidden="false" customHeight="false" outlineLevel="0" collapsed="false">
      <c r="A13" s="2" t="s">
        <v>80</v>
      </c>
      <c r="B13" s="3" t="s">
        <v>81</v>
      </c>
      <c r="C13" s="3" t="s">
        <v>82</v>
      </c>
      <c r="D13" s="3" t="s">
        <v>83</v>
      </c>
      <c r="E13" s="2" t="n">
        <v>2</v>
      </c>
      <c r="F13" s="4" t="n">
        <v>8400</v>
      </c>
      <c r="G13" s="5" t="n">
        <v>46281</v>
      </c>
      <c r="H13" s="6" t="s">
        <v>84</v>
      </c>
      <c r="I13" s="2" t="s">
        <v>54</v>
      </c>
      <c r="J13" s="2" t="s">
        <v>55</v>
      </c>
    </row>
    <row r="14" customFormat="false" ht="15" hidden="false" customHeight="false" outlineLevel="0" collapsed="false">
      <c r="A14" s="2" t="s">
        <v>85</v>
      </c>
      <c r="B14" s="3" t="s">
        <v>86</v>
      </c>
      <c r="C14" s="3" t="s">
        <v>87</v>
      </c>
      <c r="D14" s="3" t="s">
        <v>88</v>
      </c>
      <c r="E14" s="2" t="n">
        <v>2</v>
      </c>
      <c r="F14" s="4" t="n">
        <v>7800</v>
      </c>
      <c r="G14" s="5" t="n">
        <v>46283</v>
      </c>
      <c r="H14" s="6" t="s">
        <v>89</v>
      </c>
      <c r="I14" s="2" t="s">
        <v>15</v>
      </c>
      <c r="J14" s="2" t="s">
        <v>90</v>
      </c>
    </row>
    <row r="15" customFormat="false" ht="15" hidden="false" customHeight="false" outlineLevel="0" collapsed="false">
      <c r="A15" s="2" t="s">
        <v>91</v>
      </c>
      <c r="B15" s="3" t="s">
        <v>92</v>
      </c>
      <c r="C15" s="3" t="s">
        <v>93</v>
      </c>
      <c r="D15" s="3" t="s">
        <v>94</v>
      </c>
      <c r="E15" s="2" t="n">
        <v>1</v>
      </c>
      <c r="F15" s="4" t="n">
        <v>3200</v>
      </c>
      <c r="G15" s="5" t="n">
        <v>46286</v>
      </c>
      <c r="H15" s="6" t="s">
        <v>95</v>
      </c>
      <c r="I15" s="2" t="s">
        <v>35</v>
      </c>
      <c r="J15" s="2" t="s">
        <v>96</v>
      </c>
    </row>
    <row r="16" customFormat="false" ht="15" hidden="false" customHeight="false" outlineLevel="0" collapsed="false">
      <c r="A16" s="2" t="s">
        <v>97</v>
      </c>
      <c r="B16" s="3" t="s">
        <v>98</v>
      </c>
      <c r="C16" s="3" t="s">
        <v>99</v>
      </c>
      <c r="D16" s="3" t="s">
        <v>100</v>
      </c>
      <c r="E16" s="2" t="n">
        <v>1</v>
      </c>
      <c r="F16" s="4" t="n">
        <v>5600</v>
      </c>
      <c r="G16" s="5" t="n">
        <v>46289</v>
      </c>
      <c r="H16" s="6" t="s">
        <v>101</v>
      </c>
      <c r="I16" s="2" t="s">
        <v>73</v>
      </c>
      <c r="J16" s="2" t="s">
        <v>55</v>
      </c>
    </row>
    <row r="19" customFormat="false" ht="15" hidden="false" customHeight="false" outlineLevel="0" collapsed="false">
      <c r="A19" s="7" t="s">
        <v>102</v>
      </c>
      <c r="B19" s="7"/>
      <c r="C19" s="7"/>
    </row>
    <row r="20" customFormat="false" ht="15" hidden="false" customHeight="false" outlineLevel="0" collapsed="false">
      <c r="A20" s="8" t="s">
        <v>103</v>
      </c>
      <c r="B20" s="8"/>
      <c r="C20" s="9" t="n">
        <f aca="false">COUNTA(A2:A16)</f>
        <v>15</v>
      </c>
    </row>
    <row r="21" customFormat="false" ht="15" hidden="false" customHeight="false" outlineLevel="0" collapsed="false">
      <c r="A21" s="8" t="s">
        <v>104</v>
      </c>
      <c r="B21" s="8"/>
      <c r="C21" s="10" t="n">
        <f aca="false">SUM(F2:F16)</f>
        <v>104650</v>
      </c>
    </row>
    <row r="22" customFormat="false" ht="15" hidden="false" customHeight="false" outlineLevel="0" collapsed="false">
      <c r="A22" s="8" t="s">
        <v>105</v>
      </c>
      <c r="B22" s="8"/>
      <c r="C22" s="10" t="n">
        <f aca="false">SUMIF(I2:I16,"&lt;&gt;Cancelled",F2:F16)</f>
        <v>93850</v>
      </c>
    </row>
    <row r="23" customFormat="false" ht="15" hidden="false" customHeight="false" outlineLevel="0" collapsed="false">
      <c r="A23" s="11" t="s">
        <v>106</v>
      </c>
      <c r="B23" s="11"/>
      <c r="C23" s="12" t="n">
        <f aca="false">COUNTIF(I2:I16,"Delivered")</f>
        <v>5</v>
      </c>
    </row>
    <row r="24" customFormat="false" ht="15" hidden="false" customHeight="false" outlineLevel="0" collapsed="false">
      <c r="A24" s="13" t="s">
        <v>107</v>
      </c>
      <c r="B24" s="13"/>
      <c r="C24" s="14" t="n">
        <f aca="false">COUNTIF(I2:I16,"In Transit")</f>
        <v>3</v>
      </c>
    </row>
    <row r="25" customFormat="false" ht="15" hidden="false" customHeight="false" outlineLevel="0" collapsed="false">
      <c r="A25" s="15" t="s">
        <v>108</v>
      </c>
      <c r="B25" s="15"/>
      <c r="C25" s="16" t="n">
        <f aca="false">COUNTIF(I2:I16,"Processing")</f>
        <v>3</v>
      </c>
    </row>
    <row r="26" customFormat="false" ht="15" hidden="false" customHeight="false" outlineLevel="0" collapsed="false">
      <c r="A26" s="17" t="s">
        <v>109</v>
      </c>
      <c r="B26" s="17"/>
      <c r="C26" s="18" t="n">
        <f aca="false">COUNTIF(I2:I16,"Pending")</f>
        <v>2</v>
      </c>
    </row>
    <row r="27" customFormat="false" ht="15" hidden="false" customHeight="false" outlineLevel="0" collapsed="false">
      <c r="A27" s="19" t="s">
        <v>110</v>
      </c>
      <c r="B27" s="19"/>
      <c r="C27" s="20" t="n">
        <f aca="false">COUNTIF(I2:I16,"Cancelled")</f>
        <v>2</v>
      </c>
    </row>
    <row r="29" customFormat="false" ht="15" hidden="false" customHeight="false" outlineLevel="0" collapsed="false">
      <c r="A29" s="21" t="s">
        <v>111</v>
      </c>
    </row>
  </sheetData>
  <autoFilter ref="A1:J16"/>
  <mergeCells count="9">
    <mergeCell ref="A19:C19"/>
    <mergeCell ref="A20:B20"/>
    <mergeCell ref="A21:B21"/>
    <mergeCell ref="A22:B22"/>
    <mergeCell ref="A23:B23"/>
    <mergeCell ref="A24:B24"/>
    <mergeCell ref="A25:B25"/>
    <mergeCell ref="A26:B26"/>
    <mergeCell ref="A27:B27"/>
  </mergeCells>
  <conditionalFormatting sqref="A2:J16">
    <cfRule type="expression" priority="2" aboveAverage="0" equalAverage="0" bottom="0" percent="0" rank="0" text="" dxfId="8">
      <formula>$I2="Delivered"</formula>
    </cfRule>
    <cfRule type="expression" priority="3" aboveAverage="0" equalAverage="0" bottom="0" percent="0" rank="0" text="" dxfId="9">
      <formula>$I2="In Transit"</formula>
    </cfRule>
    <cfRule type="expression" priority="4" aboveAverage="0" equalAverage="0" bottom="0" percent="0" rank="0" text="" dxfId="10">
      <formula>$I2="Processing"</formula>
    </cfRule>
    <cfRule type="expression" priority="5" aboveAverage="0" equalAverage="0" bottom="0" percent="0" rank="0" text="" dxfId="11">
      <formula>$I2="Pending"</formula>
    </cfRule>
    <cfRule type="expression" priority="6" aboveAverage="0" equalAverage="0" bottom="0" percent="0" rank="0" text="" dxfId="12">
      <formula>$I2="Cancelled"</formula>
    </cfRule>
  </conditionalFormatting>
  <dataValidations count="1">
    <dataValidation allowBlank="false" error="Please choose a status from the dropdown." errorStyle="stop" errorTitle="Invalid Status" operator="between" showDropDown="false" showErrorMessage="true" showInputMessage="false" sqref="I2:I16" type="list">
      <formula1>"Delivered,In Transit,Processing,Pending,Cancelled"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2026-09-28T14:22:25Z</dcterms:created>
  <dc:creator>openpyxl</dc:creator>
  <dc:description/>
  <dc:language>en-US</dc:language>
  <cp:lastModifiedBy/>
  <dcterms:modified xsi:type="dcterms:W3CDTF">2026-09-28T14:22:25Z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